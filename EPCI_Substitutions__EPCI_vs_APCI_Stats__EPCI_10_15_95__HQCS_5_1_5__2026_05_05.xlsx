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yhisner/"/>
    </mc:Choice>
  </mc:AlternateContent>
  <xr:revisionPtr revIDLastSave="0" documentId="13_ncr:1_{35EFA0BE-058B-8F4F-8C79-70D01F3C4680}" xr6:coauthVersionLast="47" xr6:coauthVersionMax="47" xr10:uidLastSave="{00000000-0000-0000-0000-000000000000}"/>
  <bookViews>
    <workbookView xWindow="1500" yWindow="1300" windowWidth="25400" windowHeight="16940" xr2:uid="{7946F8A2-5080-B541-A5BD-E5D5579434AC}"/>
  </bookViews>
  <sheets>
    <sheet name="FINAL_df_fake_MP_META_META_100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0" i="1" l="1"/>
  <c r="H18" i="1"/>
  <c r="L18" i="1" s="1"/>
  <c r="H16" i="1"/>
  <c r="H14" i="1"/>
  <c r="L14" i="1" s="1"/>
  <c r="L20" i="1"/>
  <c r="L16" i="1"/>
  <c r="K11" i="1"/>
  <c r="L10" i="1"/>
  <c r="K10" i="1"/>
  <c r="L9" i="1"/>
  <c r="K9" i="1"/>
  <c r="L8" i="1"/>
  <c r="K8" i="1"/>
  <c r="L7" i="1"/>
  <c r="K7" i="1"/>
  <c r="L6" i="1"/>
  <c r="K6" i="1"/>
  <c r="L5" i="1"/>
  <c r="K5" i="1"/>
  <c r="L4" i="1"/>
  <c r="K4" i="1"/>
  <c r="L3" i="1"/>
  <c r="K3" i="1"/>
</calcChain>
</file>

<file path=xl/sharedStrings.xml><?xml version="1.0" encoding="utf-8"?>
<sst xmlns="http://schemas.openxmlformats.org/spreadsheetml/2006/main" count="82" uniqueCount="42">
  <si>
    <t>Statistic</t>
  </si>
  <si>
    <t>Median</t>
  </si>
  <si>
    <t>Average</t>
  </si>
  <si>
    <t>Different Muts per MP</t>
  </si>
  <si>
    <t>Different Regions per MP</t>
  </si>
  <si>
    <t>Different Muts per Region</t>
  </si>
  <si>
    <t>MP Mut ct per MPmut</t>
  </si>
  <si>
    <t>Total MP Mut Count per Region</t>
  </si>
  <si>
    <t>Total MP Mut Count per MP</t>
  </si>
  <si>
    <t>avg NonRBD AAct</t>
  </si>
  <si>
    <t>avg nonRBD rel</t>
  </si>
  <si>
    <t>EPCI HQCS Ratio</t>
  </si>
  <si>
    <t>Total ≥3-Region MP Count = 24</t>
  </si>
  <si>
    <t>Total ≥4-Region MP Count = 12</t>
  </si>
  <si>
    <t>Total MPs involving ≥5 mutations = 20</t>
  </si>
  <si>
    <t>Total MP Count, APCI = 32</t>
  </si>
  <si>
    <t>NA</t>
  </si>
  <si>
    <t>EPCI/APCI Ratios</t>
  </si>
  <si>
    <t>Avg ≥3-Region MP Count per APCI Run</t>
  </si>
  <si>
    <t>Total ≥3-Region MP Count</t>
  </si>
  <si>
    <t>Total MP Count</t>
  </si>
  <si>
    <t>Total ≥4-Region MP Count</t>
  </si>
  <si>
    <t>Avg ≥4-Region MP Count per APCI Run</t>
  </si>
  <si>
    <t>Total MPs with ≥5 mutations</t>
  </si>
  <si>
    <t>Total MPs with ≥5 mutations per APCI</t>
  </si>
  <si>
    <t xml:space="preserve"> </t>
  </si>
  <si>
    <t>≥3-Region MP Count</t>
  </si>
  <si>
    <t>Total MPs</t>
  </si>
  <si>
    <t>≥4-Region MP Count</t>
  </si>
  <si>
    <t>Avg MPs per APCI run</t>
  </si>
  <si>
    <t>The number of different mutations contained in a given mutation pattern</t>
  </si>
  <si>
    <t>The number of different regions contained in a given mutation pattern</t>
  </si>
  <si>
    <t>The number of different mutations contained within each region of a given mutation pattern</t>
  </si>
  <si>
    <t>The number of times a mutation appears in EPCI sequences possessing the given MP</t>
  </si>
  <si>
    <t>The total count of all all mutations within one MP region that are in EPCI sequences that possess the given MP</t>
  </si>
  <si>
    <t>Total count of all MP mutations that occur in EPCI sequences possessing a given MP</t>
  </si>
  <si>
    <t>Average number of non-RBD mutations in EPCI sequences possessing the MP</t>
  </si>
  <si>
    <t>Average number of non-RBD mutations in EPCI sequences possessing the MP relative to the EPCI average</t>
  </si>
  <si>
    <t>Category Key</t>
  </si>
  <si>
    <t>Median ratio of EPCI frequency to HQS frequency among all MP mutations</t>
  </si>
  <si>
    <t>EPCI MP Statistics: Substsitutions</t>
  </si>
  <si>
    <t>APCI MP Statistics: Substsitutions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</si>
</sst>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1"/>
      <name val="Calibri (Body)"/>
    </font>
    <font>
      <b/>
      <sz val="16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EEF83"/>
        <bgColor indexed="64"/>
      </patternFill>
    </fill>
    <fill>
      <patternFill patternType="solid">
        <fgColor rgb="FF95FFB3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8">
    <xf numFmtId="0" fontId="0" fillId="0" borderId="0" xfId="0"/>
    <xf numFmtId="0" fontId="19" fillId="0" borderId="0" xfId="0" applyFont="1" applyAlignment="1">
      <alignment vertical="center"/>
    </xf>
    <xf numFmtId="0" fontId="20" fillId="0" borderId="14" xfId="0" applyFont="1" applyBorder="1" applyAlignment="1">
      <alignment horizontal="center"/>
    </xf>
    <xf numFmtId="0" fontId="20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2" fontId="0" fillId="0" borderId="0" xfId="0" applyNumberFormat="1"/>
    <xf numFmtId="2" fontId="0" fillId="0" borderId="17" xfId="0" applyNumberFormat="1" applyBorder="1"/>
    <xf numFmtId="1" fontId="0" fillId="0" borderId="0" xfId="0" applyNumberFormat="1"/>
    <xf numFmtId="2" fontId="20" fillId="0" borderId="15" xfId="0" applyNumberFormat="1" applyFont="1" applyBorder="1" applyAlignment="1">
      <alignment horizontal="center"/>
    </xf>
    <xf numFmtId="2" fontId="0" fillId="0" borderId="16" xfId="0" applyNumberFormat="1" applyBorder="1"/>
    <xf numFmtId="0" fontId="22" fillId="0" borderId="0" xfId="0" applyFont="1" applyAlignment="1">
      <alignment vertical="center"/>
    </xf>
    <xf numFmtId="0" fontId="20" fillId="0" borderId="22" xfId="0" applyFont="1" applyBorder="1" applyAlignment="1">
      <alignment horizontal="center"/>
    </xf>
    <xf numFmtId="0" fontId="0" fillId="0" borderId="23" xfId="0" applyBorder="1"/>
    <xf numFmtId="0" fontId="0" fillId="0" borderId="24" xfId="0" applyBorder="1"/>
    <xf numFmtId="0" fontId="20" fillId="33" borderId="27" xfId="0" applyFont="1" applyFill="1" applyBorder="1" applyAlignment="1">
      <alignment vertical="center"/>
    </xf>
    <xf numFmtId="0" fontId="20" fillId="34" borderId="27" xfId="0" applyFont="1" applyFill="1" applyBorder="1" applyAlignment="1">
      <alignment vertical="center"/>
    </xf>
    <xf numFmtId="0" fontId="20" fillId="35" borderId="27" xfId="0" applyFont="1" applyFill="1" applyBorder="1" applyAlignment="1">
      <alignment vertical="center"/>
    </xf>
    <xf numFmtId="0" fontId="20" fillId="36" borderId="27" xfId="0" applyFont="1" applyFill="1" applyBorder="1"/>
    <xf numFmtId="0" fontId="23" fillId="33" borderId="28" xfId="0" applyFont="1" applyFill="1" applyBorder="1" applyAlignment="1">
      <alignment vertical="center"/>
    </xf>
    <xf numFmtId="0" fontId="20" fillId="33" borderId="30" xfId="0" applyFont="1" applyFill="1" applyBorder="1" applyAlignment="1">
      <alignment vertical="center"/>
    </xf>
    <xf numFmtId="0" fontId="23" fillId="34" borderId="28" xfId="0" applyFont="1" applyFill="1" applyBorder="1" applyAlignment="1">
      <alignment vertical="center"/>
    </xf>
    <xf numFmtId="0" fontId="20" fillId="34" borderId="30" xfId="0" applyFont="1" applyFill="1" applyBorder="1" applyAlignment="1">
      <alignment vertical="center"/>
    </xf>
    <xf numFmtId="0" fontId="23" fillId="35" borderId="28" xfId="0" applyFont="1" applyFill="1" applyBorder="1" applyAlignment="1">
      <alignment vertical="center"/>
    </xf>
    <xf numFmtId="0" fontId="20" fillId="35" borderId="30" xfId="0" applyFont="1" applyFill="1" applyBorder="1" applyAlignment="1">
      <alignment vertical="center"/>
    </xf>
    <xf numFmtId="0" fontId="23" fillId="36" borderId="28" xfId="0" applyFont="1" applyFill="1" applyBorder="1"/>
    <xf numFmtId="0" fontId="20" fillId="36" borderId="30" xfId="0" applyFont="1" applyFill="1" applyBorder="1"/>
    <xf numFmtId="0" fontId="23" fillId="33" borderId="19" xfId="0" applyFont="1" applyFill="1" applyBorder="1" applyAlignment="1">
      <alignment vertical="center"/>
    </xf>
    <xf numFmtId="0" fontId="23" fillId="33" borderId="20" xfId="0" applyFont="1" applyFill="1" applyBorder="1" applyAlignment="1">
      <alignment vertical="center"/>
    </xf>
    <xf numFmtId="0" fontId="23" fillId="34" borderId="19" xfId="0" applyFont="1" applyFill="1" applyBorder="1" applyAlignment="1">
      <alignment vertical="center"/>
    </xf>
    <xf numFmtId="0" fontId="23" fillId="34" borderId="20" xfId="0" applyFont="1" applyFill="1" applyBorder="1" applyAlignment="1">
      <alignment vertical="center"/>
    </xf>
    <xf numFmtId="0" fontId="23" fillId="35" borderId="19" xfId="0" applyFont="1" applyFill="1" applyBorder="1" applyAlignment="1">
      <alignment vertical="center"/>
    </xf>
    <xf numFmtId="0" fontId="23" fillId="35" borderId="20" xfId="0" applyFont="1" applyFill="1" applyBorder="1" applyAlignment="1">
      <alignment vertical="center"/>
    </xf>
    <xf numFmtId="0" fontId="23" fillId="36" borderId="19" xfId="0" applyFont="1" applyFill="1" applyBorder="1"/>
    <xf numFmtId="0" fontId="23" fillId="36" borderId="20" xfId="0" applyFont="1" applyFill="1" applyBorder="1"/>
    <xf numFmtId="0" fontId="23" fillId="33" borderId="29" xfId="0" applyFont="1" applyFill="1" applyBorder="1" applyAlignment="1">
      <alignment vertical="center"/>
    </xf>
    <xf numFmtId="0" fontId="23" fillId="34" borderId="29" xfId="0" applyFont="1" applyFill="1" applyBorder="1" applyAlignment="1">
      <alignment vertical="center"/>
    </xf>
    <xf numFmtId="0" fontId="23" fillId="35" borderId="29" xfId="0" applyFont="1" applyFill="1" applyBorder="1" applyAlignment="1">
      <alignment vertical="center"/>
    </xf>
    <xf numFmtId="0" fontId="23" fillId="36" borderId="29" xfId="0" applyFont="1" applyFill="1" applyBorder="1"/>
    <xf numFmtId="0" fontId="16" fillId="0" borderId="34" xfId="0" applyFont="1" applyBorder="1" applyAlignment="1">
      <alignment horizontal="center" vertical="center" wrapText="1"/>
    </xf>
    <xf numFmtId="0" fontId="16" fillId="0" borderId="19" xfId="0" applyFont="1" applyBorder="1" applyAlignment="1">
      <alignment horizontal="center"/>
    </xf>
    <xf numFmtId="0" fontId="19" fillId="0" borderId="10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23" fillId="36" borderId="28" xfId="0" applyFont="1" applyFill="1" applyBorder="1"/>
    <xf numFmtId="0" fontId="23" fillId="36" borderId="13" xfId="0" applyFont="1" applyFill="1" applyBorder="1"/>
    <xf numFmtId="0" fontId="23" fillId="36" borderId="32" xfId="0" applyFont="1" applyFill="1" applyBorder="1"/>
    <xf numFmtId="0" fontId="23" fillId="36" borderId="33" xfId="0" applyFont="1" applyFill="1" applyBorder="1"/>
    <xf numFmtId="0" fontId="23" fillId="33" borderId="28" xfId="0" applyFont="1" applyFill="1" applyBorder="1" applyAlignment="1">
      <alignment vertical="center"/>
    </xf>
    <xf numFmtId="0" fontId="23" fillId="33" borderId="13" xfId="0" applyFont="1" applyFill="1" applyBorder="1" applyAlignment="1">
      <alignment vertical="center"/>
    </xf>
    <xf numFmtId="0" fontId="23" fillId="33" borderId="31" xfId="0" applyFont="1" applyFill="1" applyBorder="1" applyAlignment="1">
      <alignment vertical="center"/>
    </xf>
    <xf numFmtId="0" fontId="23" fillId="33" borderId="17" xfId="0" applyFont="1" applyFill="1" applyBorder="1" applyAlignment="1">
      <alignment vertical="center"/>
    </xf>
    <xf numFmtId="0" fontId="23" fillId="34" borderId="28" xfId="0" applyFont="1" applyFill="1" applyBorder="1" applyAlignment="1">
      <alignment vertical="center"/>
    </xf>
    <xf numFmtId="0" fontId="23" fillId="34" borderId="13" xfId="0" applyFont="1" applyFill="1" applyBorder="1" applyAlignment="1">
      <alignment vertical="center"/>
    </xf>
    <xf numFmtId="0" fontId="23" fillId="34" borderId="31" xfId="0" applyFont="1" applyFill="1" applyBorder="1" applyAlignment="1">
      <alignment vertical="center"/>
    </xf>
    <xf numFmtId="0" fontId="23" fillId="34" borderId="17" xfId="0" applyFont="1" applyFill="1" applyBorder="1" applyAlignment="1">
      <alignment vertical="center"/>
    </xf>
    <xf numFmtId="0" fontId="20" fillId="33" borderId="10" xfId="0" applyFont="1" applyFill="1" applyBorder="1" applyAlignment="1">
      <alignment horizontal="center" vertical="center"/>
    </xf>
    <xf numFmtId="0" fontId="20" fillId="33" borderId="11" xfId="0" applyFont="1" applyFill="1" applyBorder="1" applyAlignment="1">
      <alignment horizontal="center" vertical="center"/>
    </xf>
    <xf numFmtId="0" fontId="20" fillId="33" borderId="12" xfId="0" applyFont="1" applyFill="1" applyBorder="1" applyAlignment="1">
      <alignment horizontal="center" vertical="center"/>
    </xf>
    <xf numFmtId="0" fontId="20" fillId="34" borderId="10" xfId="0" applyFont="1" applyFill="1" applyBorder="1" applyAlignment="1">
      <alignment horizontal="center" vertical="center"/>
    </xf>
    <xf numFmtId="0" fontId="20" fillId="34" borderId="11" xfId="0" applyFont="1" applyFill="1" applyBorder="1" applyAlignment="1">
      <alignment horizontal="center" vertical="center"/>
    </xf>
    <xf numFmtId="0" fontId="20" fillId="34" borderId="12" xfId="0" applyFont="1" applyFill="1" applyBorder="1" applyAlignment="1">
      <alignment horizontal="center" vertical="center"/>
    </xf>
    <xf numFmtId="0" fontId="20" fillId="35" borderId="10" xfId="0" applyFont="1" applyFill="1" applyBorder="1" applyAlignment="1">
      <alignment horizontal="center" vertical="center"/>
    </xf>
    <xf numFmtId="0" fontId="20" fillId="35" borderId="11" xfId="0" applyFont="1" applyFill="1" applyBorder="1" applyAlignment="1">
      <alignment horizontal="center" vertical="center"/>
    </xf>
    <xf numFmtId="0" fontId="20" fillId="35" borderId="12" xfId="0" applyFont="1" applyFill="1" applyBorder="1" applyAlignment="1">
      <alignment horizontal="center" vertical="center"/>
    </xf>
    <xf numFmtId="0" fontId="21" fillId="36" borderId="10" xfId="0" applyFont="1" applyFill="1" applyBorder="1" applyAlignment="1">
      <alignment horizontal="center" vertical="center"/>
    </xf>
    <xf numFmtId="0" fontId="21" fillId="36" borderId="11" xfId="0" applyFont="1" applyFill="1" applyBorder="1" applyAlignment="1">
      <alignment horizontal="center" vertical="center"/>
    </xf>
    <xf numFmtId="0" fontId="21" fillId="36" borderId="12" xfId="0" applyFont="1" applyFill="1" applyBorder="1" applyAlignment="1">
      <alignment horizontal="center" vertical="center"/>
    </xf>
    <xf numFmtId="0" fontId="23" fillId="35" borderId="28" xfId="0" applyFont="1" applyFill="1" applyBorder="1" applyAlignment="1">
      <alignment vertical="center"/>
    </xf>
    <xf numFmtId="0" fontId="23" fillId="35" borderId="13" xfId="0" applyFont="1" applyFill="1" applyBorder="1" applyAlignment="1">
      <alignment vertical="center"/>
    </xf>
    <xf numFmtId="0" fontId="23" fillId="35" borderId="31" xfId="0" applyFont="1" applyFill="1" applyBorder="1" applyAlignment="1">
      <alignment vertical="center"/>
    </xf>
    <xf numFmtId="0" fontId="23" fillId="35" borderId="17" xfId="0" applyFont="1" applyFill="1" applyBorder="1" applyAlignment="1">
      <alignment vertical="center"/>
    </xf>
    <xf numFmtId="0" fontId="0" fillId="0" borderId="0" xfId="0"/>
    <xf numFmtId="0" fontId="0" fillId="0" borderId="26" xfId="0" applyBorder="1"/>
    <xf numFmtId="0" fontId="0" fillId="0" borderId="20" xfId="0" applyBorder="1"/>
    <xf numFmtId="0" fontId="0" fillId="0" borderId="21" xfId="0" applyBorder="1"/>
    <xf numFmtId="0" fontId="18" fillId="37" borderId="28" xfId="0" applyFont="1" applyFill="1" applyBorder="1" applyAlignment="1">
      <alignment horizontal="center" vertical="center"/>
    </xf>
    <xf numFmtId="0" fontId="18" fillId="37" borderId="29" xfId="0" applyFont="1" applyFill="1" applyBorder="1" applyAlignment="1">
      <alignment horizontal="center" vertical="center"/>
    </xf>
    <xf numFmtId="0" fontId="18" fillId="37" borderId="25" xfId="0" applyFont="1" applyFill="1" applyBorder="1" applyAlignment="1">
      <alignment horizontal="center" vertical="center"/>
    </xf>
    <xf numFmtId="0" fontId="0" fillId="0" borderId="17" xfId="0" applyBorder="1"/>
    <xf numFmtId="0" fontId="0" fillId="0" borderId="18" xfId="0" applyBorder="1" applyAlignment="1">
      <alignment horizontal="center"/>
    </xf>
    <xf numFmtId="0" fontId="20" fillId="33" borderId="30" xfId="0" applyFont="1" applyFill="1" applyBorder="1" applyAlignment="1">
      <alignment horizontal="right" vertical="center"/>
    </xf>
    <xf numFmtId="0" fontId="20" fillId="33" borderId="27" xfId="0" applyFont="1" applyFill="1" applyBorder="1" applyAlignment="1">
      <alignment horizontal="right" vertical="center"/>
    </xf>
    <xf numFmtId="0" fontId="20" fillId="34" borderId="30" xfId="0" applyFont="1" applyFill="1" applyBorder="1" applyAlignment="1">
      <alignment horizontal="right" vertical="center"/>
    </xf>
    <xf numFmtId="0" fontId="20" fillId="35" borderId="30" xfId="0" applyFont="1" applyFill="1" applyBorder="1" applyAlignment="1">
      <alignment horizontal="right" vertical="center"/>
    </xf>
    <xf numFmtId="0" fontId="20" fillId="35" borderId="27" xfId="0" applyFont="1" applyFill="1" applyBorder="1" applyAlignment="1">
      <alignment horizontal="right" vertical="center"/>
    </xf>
    <xf numFmtId="0" fontId="20" fillId="36" borderId="30" xfId="0" applyFont="1" applyFill="1" applyBorder="1" applyAlignment="1">
      <alignment horizontal="right"/>
    </xf>
    <xf numFmtId="0" fontId="20" fillId="36" borderId="27" xfId="0" applyFont="1" applyFill="1" applyBorder="1" applyAlignment="1">
      <alignment horizontal="right"/>
    </xf>
    <xf numFmtId="2" fontId="20" fillId="34" borderId="27" xfId="0" applyNumberFormat="1" applyFont="1" applyFill="1" applyBorder="1" applyAlignment="1">
      <alignment horizontal="righ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F074F-1F1D-7D4A-9B5A-A7011BAF173F}">
  <dimension ref="B1:T47"/>
  <sheetViews>
    <sheetView tabSelected="1" workbookViewId="0">
      <selection activeCell="Q29" sqref="Q29"/>
    </sheetView>
  </sheetViews>
  <sheetFormatPr baseColWidth="10" defaultRowHeight="16" x14ac:dyDescent="0.2"/>
  <cols>
    <col min="1" max="1" width="0.83203125" customWidth="1"/>
    <col min="2" max="2" width="27" customWidth="1"/>
    <col min="3" max="3" width="9.83203125" customWidth="1"/>
    <col min="4" max="4" width="10.6640625" style="5" customWidth="1"/>
    <col min="5" max="5" width="4" customWidth="1"/>
    <col min="6" max="6" width="27" customWidth="1"/>
    <col min="7" max="7" width="9.83203125" customWidth="1"/>
    <col min="8" max="8" width="10.6640625" customWidth="1"/>
    <col min="9" max="9" width="5" customWidth="1"/>
    <col min="10" max="10" width="27" customWidth="1"/>
    <col min="11" max="11" width="9.83203125" customWidth="1"/>
    <col min="12" max="12" width="10.6640625" customWidth="1"/>
  </cols>
  <sheetData>
    <row r="1" spans="2:12" ht="25" thickBot="1" x14ac:dyDescent="0.25">
      <c r="B1" s="40" t="s">
        <v>40</v>
      </c>
      <c r="C1" s="41"/>
      <c r="D1" s="42"/>
      <c r="E1" s="1"/>
      <c r="F1" s="40" t="s">
        <v>41</v>
      </c>
      <c r="G1" s="41"/>
      <c r="H1" s="42"/>
      <c r="I1" s="1"/>
      <c r="J1" s="40" t="s">
        <v>17</v>
      </c>
      <c r="K1" s="41"/>
      <c r="L1" s="42"/>
    </row>
    <row r="2" spans="2:12" ht="19" x14ac:dyDescent="0.25">
      <c r="B2" s="11" t="s">
        <v>0</v>
      </c>
      <c r="C2" s="2" t="s">
        <v>1</v>
      </c>
      <c r="D2" s="8" t="s">
        <v>2</v>
      </c>
      <c r="F2" s="11" t="s">
        <v>0</v>
      </c>
      <c r="G2" s="2" t="s">
        <v>1</v>
      </c>
      <c r="H2" s="8" t="s">
        <v>2</v>
      </c>
      <c r="J2" s="11" t="s">
        <v>0</v>
      </c>
      <c r="K2" s="2" t="s">
        <v>1</v>
      </c>
      <c r="L2" s="8" t="s">
        <v>2</v>
      </c>
    </row>
    <row r="3" spans="2:12" x14ac:dyDescent="0.2">
      <c r="B3" s="12" t="s">
        <v>3</v>
      </c>
      <c r="C3">
        <v>7</v>
      </c>
      <c r="D3" s="9">
        <v>9.1935483870967705</v>
      </c>
      <c r="F3" s="12" t="s">
        <v>3</v>
      </c>
      <c r="G3">
        <v>2</v>
      </c>
      <c r="H3" s="9">
        <v>2.4146341463414598</v>
      </c>
      <c r="J3" s="12" t="s">
        <v>3</v>
      </c>
      <c r="K3" s="7">
        <f>C3/G3</f>
        <v>3.5</v>
      </c>
      <c r="L3" s="9">
        <f>D3/H3</f>
        <v>3.8074291300097793</v>
      </c>
    </row>
    <row r="4" spans="2:12" x14ac:dyDescent="0.2">
      <c r="B4" s="12" t="s">
        <v>4</v>
      </c>
      <c r="C4">
        <v>3</v>
      </c>
      <c r="D4" s="9">
        <v>4.4193548387096699</v>
      </c>
      <c r="F4" s="12" t="s">
        <v>4</v>
      </c>
      <c r="G4">
        <v>2</v>
      </c>
      <c r="H4" s="9">
        <v>2.2682926829268202</v>
      </c>
      <c r="J4" s="12" t="s">
        <v>4</v>
      </c>
      <c r="K4" s="7">
        <f t="shared" ref="K4:L11" si="0">C4/G4</f>
        <v>1.5</v>
      </c>
      <c r="L4" s="9">
        <f t="shared" si="0"/>
        <v>1.948317724592443</v>
      </c>
    </row>
    <row r="5" spans="2:12" x14ac:dyDescent="0.2">
      <c r="B5" s="12" t="s">
        <v>5</v>
      </c>
      <c r="C5">
        <v>1</v>
      </c>
      <c r="D5" s="9">
        <v>2.08029197080291</v>
      </c>
      <c r="F5" s="12" t="s">
        <v>5</v>
      </c>
      <c r="G5">
        <v>1</v>
      </c>
      <c r="H5" s="9">
        <v>1.06451612903225</v>
      </c>
      <c r="J5" s="12" t="s">
        <v>5</v>
      </c>
      <c r="K5" s="7">
        <f t="shared" si="0"/>
        <v>1</v>
      </c>
      <c r="L5" s="9">
        <f t="shared" si="0"/>
        <v>1.9542136695421424</v>
      </c>
    </row>
    <row r="6" spans="2:12" x14ac:dyDescent="0.2">
      <c r="B6" s="12" t="s">
        <v>6</v>
      </c>
      <c r="C6">
        <v>7</v>
      </c>
      <c r="D6" s="9">
        <v>14.3157894736842</v>
      </c>
      <c r="F6" s="12" t="s">
        <v>6</v>
      </c>
      <c r="G6">
        <v>5</v>
      </c>
      <c r="H6" s="9">
        <v>6.6020408163265296</v>
      </c>
      <c r="J6" s="12" t="s">
        <v>6</v>
      </c>
      <c r="K6" s="7">
        <f t="shared" si="0"/>
        <v>1.4</v>
      </c>
      <c r="L6" s="9">
        <f t="shared" si="0"/>
        <v>2.1683885137883334</v>
      </c>
    </row>
    <row r="7" spans="2:12" x14ac:dyDescent="0.2">
      <c r="B7" s="12" t="s">
        <v>7</v>
      </c>
      <c r="C7">
        <v>15</v>
      </c>
      <c r="D7" s="9">
        <v>29.781021897810199</v>
      </c>
      <c r="F7" s="12" t="s">
        <v>7</v>
      </c>
      <c r="G7">
        <v>5</v>
      </c>
      <c r="H7" s="9">
        <v>6.95698924731182</v>
      </c>
      <c r="J7" s="12" t="s">
        <v>7</v>
      </c>
      <c r="K7" s="7">
        <f t="shared" si="0"/>
        <v>3</v>
      </c>
      <c r="L7" s="9">
        <f t="shared" si="0"/>
        <v>4.2807342140592759</v>
      </c>
    </row>
    <row r="8" spans="2:12" x14ac:dyDescent="0.2">
      <c r="B8" s="12" t="s">
        <v>8</v>
      </c>
      <c r="C8">
        <v>67</v>
      </c>
      <c r="D8" s="9">
        <v>131.61290322580601</v>
      </c>
      <c r="F8" s="12" t="s">
        <v>8</v>
      </c>
      <c r="G8">
        <v>10</v>
      </c>
      <c r="H8" s="9">
        <v>15.780487804878</v>
      </c>
      <c r="J8" s="12" t="s">
        <v>8</v>
      </c>
      <c r="K8" s="7">
        <f t="shared" si="0"/>
        <v>6.7</v>
      </c>
      <c r="L8" s="9">
        <f t="shared" si="0"/>
        <v>8.3402303435209628</v>
      </c>
    </row>
    <row r="9" spans="2:12" x14ac:dyDescent="0.2">
      <c r="B9" s="12" t="s">
        <v>9</v>
      </c>
      <c r="C9">
        <v>18.75</v>
      </c>
      <c r="D9" s="9">
        <v>23.341612903225801</v>
      </c>
      <c r="F9" s="12" t="s">
        <v>9</v>
      </c>
      <c r="G9" s="5">
        <v>23.504999999999999</v>
      </c>
      <c r="H9" s="9">
        <v>25.559512195121901</v>
      </c>
      <c r="J9" s="12" t="s">
        <v>9</v>
      </c>
      <c r="K9" s="5">
        <f t="shared" si="0"/>
        <v>0.79770261646458207</v>
      </c>
      <c r="L9" s="9">
        <f t="shared" si="0"/>
        <v>0.91322607117989552</v>
      </c>
    </row>
    <row r="10" spans="2:12" x14ac:dyDescent="0.2">
      <c r="B10" s="12" t="s">
        <v>10</v>
      </c>
      <c r="C10">
        <v>1.18</v>
      </c>
      <c r="D10" s="9">
        <v>1.4632258064516099</v>
      </c>
      <c r="F10" s="12" t="s">
        <v>10</v>
      </c>
      <c r="G10" s="5">
        <v>1.4750000000000001</v>
      </c>
      <c r="H10" s="9">
        <v>1.6026829268292599</v>
      </c>
      <c r="J10" s="12" t="s">
        <v>10</v>
      </c>
      <c r="K10" s="5">
        <f t="shared" si="0"/>
        <v>0.79999999999999993</v>
      </c>
      <c r="L10" s="9">
        <f t="shared" si="0"/>
        <v>0.91298520871277311</v>
      </c>
    </row>
    <row r="11" spans="2:12" x14ac:dyDescent="0.2">
      <c r="B11" s="13" t="s">
        <v>11</v>
      </c>
      <c r="C11" s="78">
        <v>9.01</v>
      </c>
      <c r="D11" s="79" t="s">
        <v>16</v>
      </c>
      <c r="F11" s="13" t="s">
        <v>11</v>
      </c>
      <c r="G11" s="6">
        <v>2.3650000000000002</v>
      </c>
      <c r="H11" s="79" t="s">
        <v>16</v>
      </c>
      <c r="J11" s="13" t="s">
        <v>11</v>
      </c>
      <c r="K11" s="6">
        <f t="shared" si="0"/>
        <v>3.8097251585623675</v>
      </c>
      <c r="L11" s="79" t="s">
        <v>16</v>
      </c>
    </row>
    <row r="12" spans="2:12" ht="17" thickBot="1" x14ac:dyDescent="0.25">
      <c r="H12" s="5"/>
    </row>
    <row r="13" spans="2:12" ht="19" x14ac:dyDescent="0.2">
      <c r="B13" s="47"/>
      <c r="C13" s="48"/>
      <c r="D13" s="19"/>
      <c r="E13" s="3"/>
      <c r="F13" s="18" t="s">
        <v>20</v>
      </c>
      <c r="G13" s="34"/>
      <c r="H13" s="19">
        <v>40</v>
      </c>
      <c r="J13" s="18"/>
      <c r="K13" s="34"/>
      <c r="L13" s="80"/>
    </row>
    <row r="14" spans="2:12" ht="20" thickBot="1" x14ac:dyDescent="0.25">
      <c r="B14" s="49" t="s">
        <v>20</v>
      </c>
      <c r="C14" s="50"/>
      <c r="D14" s="14">
        <v>31</v>
      </c>
      <c r="E14" s="3"/>
      <c r="F14" s="26" t="s">
        <v>29</v>
      </c>
      <c r="G14" s="27"/>
      <c r="H14" s="14">
        <f>H13/100</f>
        <v>0.4</v>
      </c>
      <c r="J14" s="26" t="s">
        <v>27</v>
      </c>
      <c r="K14" s="27"/>
      <c r="L14" s="81">
        <f>IF(H14&lt;&gt;0,D14/H14,"&gt;"&amp;D14/0.01)</f>
        <v>77.5</v>
      </c>
    </row>
    <row r="15" spans="2:12" ht="19" x14ac:dyDescent="0.2">
      <c r="B15" s="51"/>
      <c r="C15" s="52"/>
      <c r="D15" s="21"/>
      <c r="E15" s="3"/>
      <c r="F15" s="20" t="s">
        <v>19</v>
      </c>
      <c r="G15" s="35"/>
      <c r="H15" s="21">
        <v>11</v>
      </c>
      <c r="J15" s="20"/>
      <c r="K15" s="35"/>
      <c r="L15" s="82"/>
    </row>
    <row r="16" spans="2:12" ht="20" thickBot="1" x14ac:dyDescent="0.25">
      <c r="B16" s="53" t="s">
        <v>19</v>
      </c>
      <c r="C16" s="54"/>
      <c r="D16" s="15">
        <v>23</v>
      </c>
      <c r="E16" s="4"/>
      <c r="F16" s="28" t="s">
        <v>18</v>
      </c>
      <c r="G16" s="29"/>
      <c r="H16" s="15">
        <f>H15/100</f>
        <v>0.11</v>
      </c>
      <c r="J16" s="28" t="s">
        <v>26</v>
      </c>
      <c r="K16" s="29"/>
      <c r="L16" s="87">
        <f>IF(H16&lt;&gt;0,D16/H16,"&gt;"&amp;D16/0.01)</f>
        <v>209.09090909090909</v>
      </c>
    </row>
    <row r="17" spans="2:16" ht="19" x14ac:dyDescent="0.2">
      <c r="B17" s="67"/>
      <c r="C17" s="68"/>
      <c r="D17" s="23"/>
      <c r="F17" s="22" t="s">
        <v>21</v>
      </c>
      <c r="G17" s="36"/>
      <c r="H17" s="23">
        <v>0</v>
      </c>
      <c r="J17" s="22"/>
      <c r="K17" s="36"/>
      <c r="L17" s="83"/>
    </row>
    <row r="18" spans="2:16" ht="20" thickBot="1" x14ac:dyDescent="0.25">
      <c r="B18" s="69" t="s">
        <v>21</v>
      </c>
      <c r="C18" s="70"/>
      <c r="D18" s="16">
        <v>12</v>
      </c>
      <c r="E18" s="3"/>
      <c r="F18" s="30" t="s">
        <v>22</v>
      </c>
      <c r="G18" s="31"/>
      <c r="H18" s="16">
        <f>H17/100</f>
        <v>0</v>
      </c>
      <c r="J18" s="30" t="s">
        <v>28</v>
      </c>
      <c r="K18" s="31"/>
      <c r="L18" s="84" t="str">
        <f>IF(H18&lt;&gt;0,D18/H18,"&gt;"&amp;D18/0.01)</f>
        <v>&gt;1200</v>
      </c>
    </row>
    <row r="19" spans="2:16" ht="19" x14ac:dyDescent="0.25">
      <c r="B19" s="43"/>
      <c r="C19" s="44"/>
      <c r="D19" s="25"/>
      <c r="E19" s="3"/>
      <c r="F19" s="24" t="s">
        <v>23</v>
      </c>
      <c r="G19" s="37"/>
      <c r="H19" s="25">
        <v>0</v>
      </c>
      <c r="J19" s="24"/>
      <c r="K19" s="37"/>
      <c r="L19" s="85"/>
    </row>
    <row r="20" spans="2:16" ht="22" thickBot="1" x14ac:dyDescent="0.3">
      <c r="B20" s="45" t="s">
        <v>23</v>
      </c>
      <c r="C20" s="46"/>
      <c r="D20" s="17">
        <v>18</v>
      </c>
      <c r="E20" s="10"/>
      <c r="F20" s="32" t="s">
        <v>24</v>
      </c>
      <c r="G20" s="33"/>
      <c r="H20" s="17">
        <f>H19/100</f>
        <v>0</v>
      </c>
      <c r="J20" s="32" t="s">
        <v>23</v>
      </c>
      <c r="K20" s="33"/>
      <c r="L20" s="86" t="str">
        <f>IF(H20&lt;&gt;0,D20/H20,"&gt;"&amp;D20/0.01)</f>
        <v>&gt;1800</v>
      </c>
    </row>
    <row r="21" spans="2:16" ht="22" thickBot="1" x14ac:dyDescent="0.25">
      <c r="E21" s="10"/>
    </row>
    <row r="22" spans="2:16" ht="26" x14ac:dyDescent="0.2">
      <c r="B22" s="75" t="s">
        <v>38</v>
      </c>
      <c r="C22" s="76"/>
      <c r="D22" s="76"/>
      <c r="E22" s="76"/>
      <c r="F22" s="76"/>
      <c r="G22" s="76"/>
      <c r="H22" s="76"/>
      <c r="I22" s="76"/>
      <c r="J22" s="76"/>
      <c r="K22" s="77"/>
      <c r="P22" t="s">
        <v>25</v>
      </c>
    </row>
    <row r="23" spans="2:16" ht="17" x14ac:dyDescent="0.2">
      <c r="B23" s="38" t="s">
        <v>3</v>
      </c>
      <c r="C23" s="71" t="s">
        <v>30</v>
      </c>
      <c r="D23" s="71"/>
      <c r="E23" s="71"/>
      <c r="F23" s="71"/>
      <c r="G23" s="71"/>
      <c r="H23" s="71"/>
      <c r="I23" s="71"/>
      <c r="J23" s="71"/>
      <c r="K23" s="72"/>
    </row>
    <row r="24" spans="2:16" ht="17" x14ac:dyDescent="0.2">
      <c r="B24" s="38" t="s">
        <v>4</v>
      </c>
      <c r="C24" s="71" t="s">
        <v>31</v>
      </c>
      <c r="D24" s="71"/>
      <c r="E24" s="71"/>
      <c r="F24" s="71"/>
      <c r="G24" s="71"/>
      <c r="H24" s="71"/>
      <c r="I24" s="71"/>
      <c r="J24" s="71"/>
      <c r="K24" s="72"/>
    </row>
    <row r="25" spans="2:16" ht="17" x14ac:dyDescent="0.2">
      <c r="B25" s="38" t="s">
        <v>5</v>
      </c>
      <c r="C25" s="71" t="s">
        <v>32</v>
      </c>
      <c r="D25" s="71"/>
      <c r="E25" s="71"/>
      <c r="F25" s="71"/>
      <c r="G25" s="71"/>
      <c r="H25" s="71"/>
      <c r="I25" s="71"/>
      <c r="J25" s="71"/>
      <c r="K25" s="72"/>
    </row>
    <row r="26" spans="2:16" ht="17" x14ac:dyDescent="0.2">
      <c r="B26" s="38" t="s">
        <v>6</v>
      </c>
      <c r="C26" s="71" t="s">
        <v>33</v>
      </c>
      <c r="D26" s="71"/>
      <c r="E26" s="71"/>
      <c r="F26" s="71"/>
      <c r="G26" s="71"/>
      <c r="H26" s="71"/>
      <c r="I26" s="71"/>
      <c r="J26" s="71"/>
      <c r="K26" s="72"/>
    </row>
    <row r="27" spans="2:16" ht="20" customHeight="1" x14ac:dyDescent="0.2">
      <c r="B27" s="38" t="s">
        <v>7</v>
      </c>
      <c r="C27" s="71" t="s">
        <v>34</v>
      </c>
      <c r="D27" s="71"/>
      <c r="E27" s="71"/>
      <c r="F27" s="71"/>
      <c r="G27" s="71"/>
      <c r="H27" s="71"/>
      <c r="I27" s="71"/>
      <c r="J27" s="71"/>
      <c r="K27" s="72"/>
    </row>
    <row r="28" spans="2:16" ht="19" customHeight="1" x14ac:dyDescent="0.2">
      <c r="B28" s="38" t="s">
        <v>8</v>
      </c>
      <c r="C28" s="71" t="s">
        <v>35</v>
      </c>
      <c r="D28" s="71"/>
      <c r="E28" s="71"/>
      <c r="F28" s="71"/>
      <c r="G28" s="71"/>
      <c r="H28" s="71"/>
      <c r="I28" s="71"/>
      <c r="J28" s="71"/>
      <c r="K28" s="72"/>
    </row>
    <row r="29" spans="2:16" ht="17" x14ac:dyDescent="0.2">
      <c r="B29" s="38" t="s">
        <v>9</v>
      </c>
      <c r="C29" s="71" t="s">
        <v>36</v>
      </c>
      <c r="D29" s="71"/>
      <c r="E29" s="71"/>
      <c r="F29" s="71"/>
      <c r="G29" s="71"/>
      <c r="H29" s="71"/>
      <c r="I29" s="71"/>
      <c r="J29" s="71"/>
      <c r="K29" s="72"/>
    </row>
    <row r="30" spans="2:16" ht="17" x14ac:dyDescent="0.2">
      <c r="B30" s="38" t="s">
        <v>10</v>
      </c>
      <c r="C30" s="71" t="s">
        <v>37</v>
      </c>
      <c r="D30" s="71"/>
      <c r="E30" s="71"/>
      <c r="F30" s="71"/>
      <c r="G30" s="71"/>
      <c r="H30" s="71"/>
      <c r="I30" s="71"/>
      <c r="J30" s="71"/>
      <c r="K30" s="72"/>
    </row>
    <row r="31" spans="2:16" ht="17" thickBot="1" x14ac:dyDescent="0.25">
      <c r="B31" s="39" t="s">
        <v>11</v>
      </c>
      <c r="C31" s="73" t="s">
        <v>39</v>
      </c>
      <c r="D31" s="73"/>
      <c r="E31" s="73"/>
      <c r="F31" s="73"/>
      <c r="G31" s="73"/>
      <c r="H31" s="73"/>
      <c r="I31" s="73"/>
      <c r="J31" s="73"/>
      <c r="K31" s="74"/>
    </row>
    <row r="43" spans="18:20" ht="17" thickBot="1" x14ac:dyDescent="0.25"/>
    <row r="44" spans="18:20" ht="20" thickBot="1" x14ac:dyDescent="0.25">
      <c r="R44" s="55" t="s">
        <v>15</v>
      </c>
      <c r="S44" s="56"/>
      <c r="T44" s="57"/>
    </row>
    <row r="45" spans="18:20" ht="20" thickBot="1" x14ac:dyDescent="0.25">
      <c r="R45" s="58" t="s">
        <v>12</v>
      </c>
      <c r="S45" s="59"/>
      <c r="T45" s="60"/>
    </row>
    <row r="46" spans="18:20" ht="20" thickBot="1" x14ac:dyDescent="0.25">
      <c r="R46" s="61" t="s">
        <v>13</v>
      </c>
      <c r="S46" s="62"/>
      <c r="T46" s="63"/>
    </row>
    <row r="47" spans="18:20" ht="20" thickBot="1" x14ac:dyDescent="0.25">
      <c r="R47" s="64" t="s">
        <v>14</v>
      </c>
      <c r="S47" s="65"/>
      <c r="T47" s="66"/>
    </row>
  </sheetData>
  <mergeCells count="25">
    <mergeCell ref="R44:T44"/>
    <mergeCell ref="R45:T45"/>
    <mergeCell ref="R46:T46"/>
    <mergeCell ref="R47:T47"/>
    <mergeCell ref="B17:C17"/>
    <mergeCell ref="B18:C18"/>
    <mergeCell ref="C30:K30"/>
    <mergeCell ref="C31:K31"/>
    <mergeCell ref="B22:K22"/>
    <mergeCell ref="C23:K23"/>
    <mergeCell ref="C24:K24"/>
    <mergeCell ref="C25:K25"/>
    <mergeCell ref="C26:K26"/>
    <mergeCell ref="C27:K27"/>
    <mergeCell ref="C28:K28"/>
    <mergeCell ref="C29:K29"/>
    <mergeCell ref="F1:H1"/>
    <mergeCell ref="B19:C19"/>
    <mergeCell ref="B20:C20"/>
    <mergeCell ref="B1:D1"/>
    <mergeCell ref="J1:L1"/>
    <mergeCell ref="B13:C13"/>
    <mergeCell ref="B14:C14"/>
    <mergeCell ref="B15:C15"/>
    <mergeCell ref="B16:C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FINAL_df_fake_MP_META_META_100R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</dc:creator>
  <cp:lastModifiedBy>Ryan</cp:lastModifiedBy>
  <dcterms:created xsi:type="dcterms:W3CDTF">2026-03-22T15:05:53Z</dcterms:created>
  <dcterms:modified xsi:type="dcterms:W3CDTF">2026-05-05T20:02:04Z</dcterms:modified>
</cp:coreProperties>
</file>